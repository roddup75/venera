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3C0F3A1F-FD07-4A7A-8283-2755CD1983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1" l="1"/>
  <c r="M16" i="1"/>
  <c r="M17" i="1" s="1"/>
  <c r="M18" i="1" s="1"/>
  <c r="M19" i="1" s="1"/>
  <c r="M20" i="1" s="1"/>
  <c r="M21" i="1" s="1"/>
  <c r="M22" i="1" s="1"/>
  <c r="M23" i="1" s="1"/>
  <c r="M24" i="1" s="1"/>
  <c r="P9" i="1"/>
  <c r="O9" i="1"/>
  <c r="N9" i="1"/>
  <c r="M9" i="1"/>
  <c r="F10" i="1"/>
  <c r="P8" i="1"/>
  <c r="O8" i="1"/>
  <c r="N8" i="1"/>
  <c r="M8" i="1"/>
  <c r="M7" i="1"/>
  <c r="L7" i="1"/>
  <c r="O6" i="1"/>
  <c r="P6" i="1"/>
  <c r="M6" i="1"/>
  <c r="N6" i="1"/>
  <c r="L6" i="1"/>
  <c r="M5" i="1"/>
  <c r="M4" i="1"/>
  <c r="L5" i="1"/>
  <c r="L8" i="1" s="1"/>
  <c r="L4" i="1"/>
  <c r="D28" i="1"/>
  <c r="E33" i="1"/>
  <c r="D33" i="1"/>
  <c r="E30" i="1"/>
  <c r="C30" i="1"/>
  <c r="H22" i="1"/>
  <c r="G22" i="1"/>
  <c r="F22" i="1"/>
  <c r="E22" i="1"/>
  <c r="D22" i="1"/>
  <c r="H21" i="1"/>
  <c r="H20" i="1"/>
  <c r="G21" i="1"/>
  <c r="G20" i="1"/>
  <c r="F21" i="1"/>
  <c r="F20" i="1"/>
  <c r="E21" i="1"/>
  <c r="E20" i="1"/>
  <c r="D21" i="1"/>
  <c r="D20" i="1"/>
  <c r="H16" i="1"/>
  <c r="D16" i="1"/>
  <c r="H18" i="1"/>
  <c r="F18" i="1"/>
  <c r="E18" i="1"/>
  <c r="D18" i="1"/>
  <c r="C18" i="1"/>
  <c r="H10" i="1"/>
  <c r="H9" i="1"/>
  <c r="H8" i="1"/>
  <c r="F9" i="1"/>
  <c r="F8" i="1"/>
  <c r="G10" i="1"/>
  <c r="G9" i="1"/>
  <c r="G8" i="1"/>
  <c r="E8" i="1"/>
  <c r="E9" i="1"/>
  <c r="H6" i="1"/>
  <c r="F6" i="1"/>
  <c r="E6" i="1"/>
  <c r="D6" i="1"/>
  <c r="C6" i="1"/>
  <c r="G4" i="1"/>
  <c r="G6" i="1" s="1"/>
  <c r="L9" i="1" l="1"/>
  <c r="E32" i="1"/>
  <c r="D32" i="1"/>
  <c r="D30" i="1"/>
  <c r="D34" i="1" s="1"/>
  <c r="E34" i="1"/>
  <c r="G18" i="1"/>
  <c r="E10" i="1"/>
</calcChain>
</file>

<file path=xl/sharedStrings.xml><?xml version="1.0" encoding="utf-8"?>
<sst xmlns="http://schemas.openxmlformats.org/spreadsheetml/2006/main" count="21" uniqueCount="9">
  <si>
    <t>Relaxed ADV Impact</t>
  </si>
  <si>
    <t>S</t>
  </si>
  <si>
    <t>R</t>
  </si>
  <si>
    <t>excesss</t>
  </si>
  <si>
    <t>te</t>
  </si>
  <si>
    <t>ir</t>
  </si>
  <si>
    <t>median</t>
  </si>
  <si>
    <t>AUM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</si>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</sst>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Sheet1!$M$14</c:f>
              <c:strCache>
                <c:ptCount val="1"/>
                <c:pt idx="0">
                  <c:v>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Sheet1!$L$15:$L$24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Sheet1!$M$15:$M$24</c:f>
              <c:numCache>
                <c:formatCode>0.00</c:formatCode>
                <c:ptCount val="10"/>
                <c:pt idx="0" formatCode="General">
                  <c:v>0.6</c:v>
                </c:pt>
                <c:pt idx="1">
                  <c:v>0.53371647509578546</c:v>
                </c:pt>
                <c:pt idx="2">
                  <c:v>0.46743295019157088</c:v>
                </c:pt>
                <c:pt idx="3">
                  <c:v>0.40114942528735631</c:v>
                </c:pt>
                <c:pt idx="4">
                  <c:v>0.33486590038314173</c:v>
                </c:pt>
                <c:pt idx="5">
                  <c:v>0.26858237547892716</c:v>
                </c:pt>
                <c:pt idx="6">
                  <c:v>0.20229885057471259</c:v>
                </c:pt>
                <c:pt idx="7">
                  <c:v>0.13601532567049801</c:v>
                </c:pt>
                <c:pt idx="8">
                  <c:v>6.9731800766283436E-2</c:v>
                </c:pt>
                <c:pt idx="9">
                  <c:v>3.4482758620688614E-3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F-4F8F-8E56-832A014F5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44423"/>
        <c:axId val="125693447"/>
      </c:barChart>
      <c:catAx>
        <c:axId val="69244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3447"/>
        <c:crosses val="autoZero"/>
        <c:auto val="1"/>
        <c:lblAlgn val="ctr"/>
        <c:lblOffset val="100"/>
        <c:noMultiLvlLbl val="0"/>
      </c:catAx>
      <c:valAx>
        <c:axId val="12569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4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2</xdr:row>
      <xdr:rowOff>152400</xdr:rowOff>
    </xdr:from>
    <xdr:to>
      <xdr:col>10</xdr:col>
      <xdr:colOff>371475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EF2E4-5AAE-D61C-3BEF-5E07B8CE8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4"/>
  <sheetViews>
    <sheetView tabSelected="1" topLeftCell="A2" workbookViewId="0">
      <selection activeCell="M16" sqref="M16"/>
    </sheetView>
  </sheetViews>
  <sheetFormatPr defaultRowHeight="15"/>
  <sheetData>
    <row r="1" spans="2:16">
      <c r="B1" t="s">
        <v>0</v>
      </c>
    </row>
    <row r="2" spans="2:16"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2:16">
      <c r="C3">
        <v>1</v>
      </c>
      <c r="D3">
        <v>1</v>
      </c>
      <c r="E3">
        <v>2</v>
      </c>
      <c r="F3">
        <v>2</v>
      </c>
      <c r="G3">
        <v>3</v>
      </c>
      <c r="H3">
        <v>3</v>
      </c>
      <c r="K3">
        <v>1</v>
      </c>
      <c r="L3">
        <v>2</v>
      </c>
      <c r="M3">
        <v>3</v>
      </c>
      <c r="N3">
        <v>3.5</v>
      </c>
      <c r="O3">
        <v>4</v>
      </c>
      <c r="P3">
        <v>5</v>
      </c>
    </row>
    <row r="4" spans="2:16">
      <c r="B4" t="s">
        <v>3</v>
      </c>
      <c r="C4" s="1">
        <v>-6.7999999999999996E-3</v>
      </c>
      <c r="D4" s="1">
        <v>-7.1000000000000004E-3</v>
      </c>
      <c r="E4" s="1">
        <v>-7.6E-3</v>
      </c>
      <c r="F4" s="1">
        <v>-8.3999999999999995E-3</v>
      </c>
      <c r="G4" s="1">
        <f>-0.63%</f>
        <v>-6.3E-3</v>
      </c>
      <c r="H4" s="1">
        <v>-5.4999999999999997E-3</v>
      </c>
      <c r="L4" s="2">
        <f>+E10</f>
        <v>-0.12809917355371903</v>
      </c>
      <c r="M4" s="2">
        <f>+G10</f>
        <v>0.14348378893833441</v>
      </c>
    </row>
    <row r="5" spans="2:16">
      <c r="B5" t="s">
        <v>4</v>
      </c>
      <c r="C5" s="1">
        <v>1.3599999999999999E-2</v>
      </c>
      <c r="D5" s="1">
        <v>1.4500000000000001E-2</v>
      </c>
      <c r="E5" s="1">
        <v>1.21E-2</v>
      </c>
      <c r="F5" s="1">
        <v>1.35E-2</v>
      </c>
      <c r="G5" s="1">
        <v>1.2999999999999999E-2</v>
      </c>
      <c r="H5" s="1">
        <v>1.29E-2</v>
      </c>
      <c r="L5" s="2">
        <f>+F10</f>
        <v>-0.13256704980842915</v>
      </c>
      <c r="M5" s="2">
        <f>+H10</f>
        <v>0.19586563307493543</v>
      </c>
    </row>
    <row r="6" spans="2:16">
      <c r="B6" t="s">
        <v>5</v>
      </c>
      <c r="C6" s="2">
        <f>+C4/C5</f>
        <v>-0.5</v>
      </c>
      <c r="D6" s="2">
        <f>+D4/D5</f>
        <v>-0.48965517241379308</v>
      </c>
      <c r="E6" s="2">
        <f>+E4/E5</f>
        <v>-0.62809917355371903</v>
      </c>
      <c r="F6" s="2">
        <f>+F4/F5</f>
        <v>-0.62222222222222223</v>
      </c>
      <c r="G6" s="2">
        <f>+G4/G5</f>
        <v>-0.48461538461538461</v>
      </c>
      <c r="H6" s="2">
        <f>+H4/H5</f>
        <v>-0.4263565891472868</v>
      </c>
      <c r="L6" s="2">
        <f>+D22</f>
        <v>-0.13256704980842915</v>
      </c>
      <c r="M6" s="2">
        <f t="shared" ref="M6:N6" si="0">+E22</f>
        <v>0.19586563307493543</v>
      </c>
      <c r="N6" s="2">
        <f t="shared" si="0"/>
        <v>-0.22443706164636401</v>
      </c>
      <c r="O6" s="2">
        <f>+G22</f>
        <v>0</v>
      </c>
      <c r="P6" s="2">
        <f t="shared" ref="P6" si="1">+H22</f>
        <v>0.11456176673567975</v>
      </c>
    </row>
    <row r="7" spans="2:16">
      <c r="L7" s="2">
        <f>+D34</f>
        <v>-0.12809917355371903</v>
      </c>
      <c r="M7" s="2">
        <f>+E34</f>
        <v>0.14348378893833441</v>
      </c>
    </row>
    <row r="8" spans="2:16">
      <c r="E8" s="1">
        <f>+E4-C4</f>
        <v>-8.0000000000000036E-4</v>
      </c>
      <c r="F8" s="1">
        <f>+F4-D4</f>
        <v>-1.2999999999999991E-3</v>
      </c>
      <c r="G8" s="1">
        <f>+G4-E4</f>
        <v>1.2999999999999999E-3</v>
      </c>
      <c r="H8" s="1">
        <f>+H4-F4</f>
        <v>2.8999999999999998E-3</v>
      </c>
      <c r="J8" t="s">
        <v>6</v>
      </c>
      <c r="L8" s="2">
        <f>+MEDIAN(L4:L7)</f>
        <v>-0.13033311168107409</v>
      </c>
      <c r="M8" s="2">
        <f>+MEDIAN(M4:M7)</f>
        <v>0.16967471100663492</v>
      </c>
      <c r="N8" s="2">
        <f>+MEDIAN(N4:N7)</f>
        <v>-0.22443706164636401</v>
      </c>
      <c r="O8" s="2">
        <f>+MEDIAN(O4:O7)</f>
        <v>0</v>
      </c>
      <c r="P8" s="2">
        <f>+MEDIAN(P4:P7)</f>
        <v>0.11456176673567975</v>
      </c>
    </row>
    <row r="9" spans="2:16">
      <c r="E9" s="1">
        <f>+E5-C5</f>
        <v>-1.4999999999999996E-3</v>
      </c>
      <c r="F9" s="1">
        <f>+F5-D5</f>
        <v>-1.0000000000000009E-3</v>
      </c>
      <c r="G9" s="1">
        <f>+G5-E5</f>
        <v>8.9999999999999976E-4</v>
      </c>
      <c r="H9" s="1">
        <f>+H5-F5</f>
        <v>-5.9999999999999984E-4</v>
      </c>
      <c r="L9" s="2">
        <f>+L8</f>
        <v>-0.13033311168107409</v>
      </c>
      <c r="M9" s="2">
        <f>AVERAGE(L8:N8)</f>
        <v>-6.1698487440267728E-2</v>
      </c>
      <c r="N9" s="2">
        <f>+AVERAGE(N8,AVERAGE(L8,M8))</f>
        <v>-0.1023831309917918</v>
      </c>
      <c r="O9" s="2">
        <f>+AVERAGE(O8,AVERAGE(L8,N8))</f>
        <v>-8.8692543331859525E-2</v>
      </c>
      <c r="P9" s="2">
        <f>+AVERAGE(P8,AVERAGE(L8,O8))</f>
        <v>2.4697605447571352E-2</v>
      </c>
    </row>
    <row r="10" spans="2:16">
      <c r="E10" s="2">
        <f>+E6-C6</f>
        <v>-0.12809917355371903</v>
      </c>
      <c r="F10" s="2">
        <f>+F6-D6</f>
        <v>-0.13256704980842915</v>
      </c>
      <c r="G10" s="2">
        <f>+G6-E6</f>
        <v>0.14348378893833441</v>
      </c>
      <c r="H10" s="2">
        <f>+H6-F6</f>
        <v>0.19586563307493543</v>
      </c>
    </row>
    <row r="12" spans="2:16">
      <c r="N12" s="3">
        <f>+MEDIAN(L6:O6)</f>
        <v>-6.6283524904214575E-2</v>
      </c>
    </row>
    <row r="13" spans="2:16">
      <c r="B13" t="s">
        <v>0</v>
      </c>
    </row>
    <row r="14" spans="2:16">
      <c r="L14" t="s">
        <v>7</v>
      </c>
      <c r="M14" t="s">
        <v>8</v>
      </c>
    </row>
    <row r="15" spans="2:16">
      <c r="C15">
        <v>1</v>
      </c>
      <c r="D15">
        <v>2</v>
      </c>
      <c r="E15">
        <v>3</v>
      </c>
      <c r="F15">
        <v>3.5</v>
      </c>
      <c r="G15">
        <v>4</v>
      </c>
      <c r="H15">
        <v>5</v>
      </c>
      <c r="L15">
        <v>0</v>
      </c>
      <c r="M15">
        <v>0.6</v>
      </c>
    </row>
    <row r="16" spans="2:16">
      <c r="B16" t="s">
        <v>3</v>
      </c>
      <c r="C16" s="1">
        <v>-7.1000000000000004E-3</v>
      </c>
      <c r="D16" s="1">
        <f>-0.84%</f>
        <v>-8.3999999999999995E-3</v>
      </c>
      <c r="E16" s="1">
        <v>-5.4999999999999997E-3</v>
      </c>
      <c r="F16" s="1">
        <v>-8.2000000000000007E-3</v>
      </c>
      <c r="G16" s="1">
        <v>-8.2000000000000007E-3</v>
      </c>
      <c r="H16" s="1">
        <f>-0.74%</f>
        <v>-7.4000000000000003E-3</v>
      </c>
      <c r="L16">
        <v>1</v>
      </c>
      <c r="M16" s="2">
        <f>+M15+$N$12</f>
        <v>0.53371647509578546</v>
      </c>
    </row>
    <row r="17" spans="2:13">
      <c r="B17" t="s">
        <v>4</v>
      </c>
      <c r="C17" s="1">
        <v>1.4500000000000001E-2</v>
      </c>
      <c r="D17" s="1">
        <v>1.35E-2</v>
      </c>
      <c r="E17" s="1">
        <v>1.29E-2</v>
      </c>
      <c r="F17" s="1">
        <v>1.26E-2</v>
      </c>
      <c r="G17" s="1">
        <v>1.26E-2</v>
      </c>
      <c r="H17" s="1">
        <v>1.38E-2</v>
      </c>
      <c r="L17">
        <v>2</v>
      </c>
      <c r="M17" s="2">
        <f t="shared" ref="M17:M24" si="2">+M16+$N$12</f>
        <v>0.46743295019157088</v>
      </c>
    </row>
    <row r="18" spans="2:13">
      <c r="B18" t="s">
        <v>5</v>
      </c>
      <c r="C18" s="2">
        <f>+C16/C17</f>
        <v>-0.48965517241379308</v>
      </c>
      <c r="D18" s="2">
        <f>+D16/D17</f>
        <v>-0.62222222222222223</v>
      </c>
      <c r="E18" s="2">
        <f>+E16/E17</f>
        <v>-0.4263565891472868</v>
      </c>
      <c r="F18" s="2">
        <f>+F16/F17</f>
        <v>-0.65079365079365081</v>
      </c>
      <c r="G18" s="2">
        <f>+G16/G17</f>
        <v>-0.65079365079365081</v>
      </c>
      <c r="H18" s="2">
        <f>+H16/H17</f>
        <v>-0.53623188405797106</v>
      </c>
      <c r="L18">
        <v>3</v>
      </c>
      <c r="M18" s="2">
        <f t="shared" si="2"/>
        <v>0.40114942528735631</v>
      </c>
    </row>
    <row r="19" spans="2:13">
      <c r="L19">
        <v>4</v>
      </c>
      <c r="M19" s="2">
        <f t="shared" si="2"/>
        <v>0.33486590038314173</v>
      </c>
    </row>
    <row r="20" spans="2:13">
      <c r="C20" s="1"/>
      <c r="D20" s="1">
        <f>+D16-C16</f>
        <v>-1.2999999999999991E-3</v>
      </c>
      <c r="E20" s="1">
        <f>+E16-D16</f>
        <v>2.8999999999999998E-3</v>
      </c>
      <c r="F20" s="1">
        <f>+F16-E16</f>
        <v>-2.700000000000001E-3</v>
      </c>
      <c r="G20" s="1">
        <f>+G16-F16</f>
        <v>0</v>
      </c>
      <c r="H20" s="1">
        <f>+H16-G16</f>
        <v>8.0000000000000036E-4</v>
      </c>
      <c r="L20">
        <v>5</v>
      </c>
      <c r="M20" s="2">
        <f t="shared" si="2"/>
        <v>0.26858237547892716</v>
      </c>
    </row>
    <row r="21" spans="2:13">
      <c r="C21" s="1"/>
      <c r="D21" s="1">
        <f>+D17-C17</f>
        <v>-1.0000000000000009E-3</v>
      </c>
      <c r="E21" s="1">
        <f>+E17-D17</f>
        <v>-5.9999999999999984E-4</v>
      </c>
      <c r="F21" s="1">
        <f>+F17-E17</f>
        <v>-2.9999999999999992E-4</v>
      </c>
      <c r="G21" s="1">
        <f>+G17-F17</f>
        <v>0</v>
      </c>
      <c r="H21" s="1">
        <f>+H17-G17</f>
        <v>1.1999999999999997E-3</v>
      </c>
      <c r="L21">
        <v>6</v>
      </c>
      <c r="M21" s="2">
        <f t="shared" si="2"/>
        <v>0.20229885057471259</v>
      </c>
    </row>
    <row r="22" spans="2:13">
      <c r="C22" s="2"/>
      <c r="D22" s="2">
        <f>+D18-C18</f>
        <v>-0.13256704980842915</v>
      </c>
      <c r="E22" s="2">
        <f>+E18-D18</f>
        <v>0.19586563307493543</v>
      </c>
      <c r="F22" s="2">
        <f>+F18-E18</f>
        <v>-0.22443706164636401</v>
      </c>
      <c r="G22" s="2">
        <f>+G18-F18</f>
        <v>0</v>
      </c>
      <c r="H22" s="2">
        <f>+H18-G18</f>
        <v>0.11456176673567975</v>
      </c>
      <c r="L22">
        <v>7</v>
      </c>
      <c r="M22" s="2">
        <f t="shared" si="2"/>
        <v>0.13601532567049801</v>
      </c>
    </row>
    <row r="23" spans="2:13">
      <c r="L23">
        <v>8</v>
      </c>
      <c r="M23" s="2">
        <f t="shared" si="2"/>
        <v>6.9731800766283436E-2</v>
      </c>
    </row>
    <row r="24" spans="2:13">
      <c r="L24">
        <v>9</v>
      </c>
      <c r="M24" s="2">
        <f t="shared" si="2"/>
        <v>3.4482758620688614E-3</v>
      </c>
    </row>
    <row r="25" spans="2:13">
      <c r="B25" t="s">
        <v>0</v>
      </c>
      <c r="M25" s="2"/>
    </row>
    <row r="27" spans="2:13">
      <c r="C27">
        <v>1</v>
      </c>
      <c r="D27">
        <v>2</v>
      </c>
      <c r="E27">
        <v>3</v>
      </c>
    </row>
    <row r="28" spans="2:13">
      <c r="B28" t="s">
        <v>3</v>
      </c>
      <c r="C28" s="1">
        <v>-6.7999999999999996E-3</v>
      </c>
      <c r="D28" s="1">
        <f>-0.76%</f>
        <v>-7.6E-3</v>
      </c>
      <c r="E28" s="1">
        <v>-6.3E-3</v>
      </c>
    </row>
    <row r="29" spans="2:13">
      <c r="B29" t="s">
        <v>4</v>
      </c>
      <c r="C29" s="1">
        <v>1.3599999999999999E-2</v>
      </c>
      <c r="D29" s="1">
        <v>1.21E-2</v>
      </c>
      <c r="E29" s="1">
        <v>1.2999999999999999E-2</v>
      </c>
    </row>
    <row r="30" spans="2:13">
      <c r="B30" t="s">
        <v>5</v>
      </c>
      <c r="C30" s="2">
        <f>+C28/C29</f>
        <v>-0.5</v>
      </c>
      <c r="D30" s="2">
        <f>+D28/D29</f>
        <v>-0.62809917355371903</v>
      </c>
      <c r="E30" s="2">
        <f>+E28/E29</f>
        <v>-0.48461538461538461</v>
      </c>
    </row>
    <row r="32" spans="2:13">
      <c r="C32" s="1"/>
      <c r="D32" s="1">
        <f>+D28-C28</f>
        <v>-8.0000000000000036E-4</v>
      </c>
      <c r="E32" s="1">
        <f>+E28-D28</f>
        <v>1.2999999999999999E-3</v>
      </c>
    </row>
    <row r="33" spans="3:5">
      <c r="C33" s="1"/>
      <c r="D33" s="1">
        <f>+D29-C29</f>
        <v>-1.4999999999999996E-3</v>
      </c>
      <c r="E33" s="1">
        <f>+E29-D29</f>
        <v>8.9999999999999976E-4</v>
      </c>
    </row>
    <row r="34" spans="3:5">
      <c r="C34" s="2"/>
      <c r="D34" s="2">
        <f>+D30-C30</f>
        <v>-0.12809917355371903</v>
      </c>
      <c r="E34" s="2">
        <f>+E30-D30</f>
        <v>0.14348378893833441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2026-10-13T19:51:14Z</dcterms:created>
  <dcterms:modified xsi:type="dcterms:W3CDTF">2026-10-13T21:13:01Z</dcterms:modified>
  <cp:category/>
  <cp:contentStatus/>
</cp:coreProperties>
</file>